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15195" windowHeight="6345" activeTab="1"/>
  </bookViews>
  <sheets>
    <sheet name="X Axis" sheetId="3" r:id="rId1"/>
    <sheet name="Y Axis" sheetId="2" r:id="rId2"/>
    <sheet name="Z Axis" sheetId="1" r:id="rId3"/>
  </sheets>
  <calcPr calcId="145621"/>
</workbook>
</file>

<file path=xl/calcChain.xml><?xml version="1.0" encoding="utf-8"?>
<calcChain xmlns="http://schemas.openxmlformats.org/spreadsheetml/2006/main">
  <c r="A21" i="2" l="1"/>
  <c r="J22" i="1"/>
  <c r="K22" i="1" s="1"/>
  <c r="J35" i="1" s="1"/>
  <c r="J23" i="1"/>
  <c r="K23" i="1"/>
  <c r="J24" i="1"/>
  <c r="K24" i="1" s="1"/>
  <c r="J25" i="1"/>
  <c r="K25" i="1"/>
  <c r="J26" i="1"/>
  <c r="K26" i="1" s="1"/>
  <c r="J27" i="1"/>
  <c r="K27" i="1"/>
  <c r="J28" i="1"/>
  <c r="K28" i="1" s="1"/>
  <c r="J29" i="1"/>
  <c r="K29" i="1"/>
  <c r="J30" i="1"/>
  <c r="K30" i="1" s="1"/>
  <c r="J31" i="1"/>
  <c r="K31" i="1"/>
  <c r="K21" i="1"/>
  <c r="J21" i="1"/>
  <c r="I22" i="1"/>
  <c r="I23" i="1"/>
  <c r="I24" i="1"/>
  <c r="I25" i="1"/>
  <c r="I26" i="1"/>
  <c r="I27" i="1"/>
  <c r="I28" i="1"/>
  <c r="I29" i="1"/>
  <c r="I30" i="1"/>
  <c r="I31" i="1"/>
  <c r="I21" i="1"/>
  <c r="E22" i="1"/>
  <c r="E23" i="1"/>
  <c r="E24" i="1"/>
  <c r="E25" i="1"/>
  <c r="E26" i="1"/>
  <c r="E27" i="1"/>
  <c r="E28" i="1"/>
  <c r="E29" i="1"/>
  <c r="E30" i="1"/>
  <c r="E31" i="1"/>
  <c r="E21" i="1"/>
  <c r="F36" i="2"/>
  <c r="B36" i="2"/>
  <c r="F36" i="3"/>
  <c r="B36" i="3"/>
  <c r="A22" i="1"/>
  <c r="A23" i="1"/>
  <c r="A24" i="1"/>
  <c r="A25" i="1"/>
  <c r="A26" i="1"/>
  <c r="A27" i="1"/>
  <c r="A28" i="1"/>
  <c r="A29" i="1"/>
  <c r="A30" i="1"/>
  <c r="A31" i="1"/>
  <c r="A21" i="1"/>
  <c r="E22" i="2"/>
  <c r="E23" i="2"/>
  <c r="E24" i="2"/>
  <c r="F24" i="2" s="1"/>
  <c r="G24" i="2" s="1"/>
  <c r="E25" i="2"/>
  <c r="F25" i="2" s="1"/>
  <c r="G25" i="2" s="1"/>
  <c r="E26" i="2"/>
  <c r="E27" i="2"/>
  <c r="E28" i="2"/>
  <c r="F28" i="2" s="1"/>
  <c r="G28" i="2" s="1"/>
  <c r="E29" i="2"/>
  <c r="F29" i="2" s="1"/>
  <c r="G29" i="2" s="1"/>
  <c r="E30" i="2"/>
  <c r="E31" i="2"/>
  <c r="E32" i="2"/>
  <c r="F32" i="2" s="1"/>
  <c r="G32" i="2" s="1"/>
  <c r="E21" i="2"/>
  <c r="F21" i="2" s="1"/>
  <c r="G21" i="2" s="1"/>
  <c r="A22" i="2"/>
  <c r="A23" i="2"/>
  <c r="A24" i="2"/>
  <c r="A25" i="2"/>
  <c r="B25" i="2" s="1"/>
  <c r="C25" i="2" s="1"/>
  <c r="A26" i="2"/>
  <c r="A27" i="2"/>
  <c r="A28" i="2"/>
  <c r="A29" i="2"/>
  <c r="B29" i="2" s="1"/>
  <c r="C29" i="2" s="1"/>
  <c r="A30" i="2"/>
  <c r="A31" i="2"/>
  <c r="A32" i="2"/>
  <c r="B21" i="2"/>
  <c r="C21" i="2" s="1"/>
  <c r="F22" i="2"/>
  <c r="G22" i="2" s="1"/>
  <c r="F23" i="2"/>
  <c r="G23" i="2"/>
  <c r="F26" i="2"/>
  <c r="G26" i="2" s="1"/>
  <c r="F27" i="2"/>
  <c r="G27" i="2"/>
  <c r="F30" i="2"/>
  <c r="G30" i="2" s="1"/>
  <c r="F31" i="2"/>
  <c r="G31" i="2"/>
  <c r="B22" i="2"/>
  <c r="C22" i="2" s="1"/>
  <c r="B23" i="2"/>
  <c r="C23" i="2" s="1"/>
  <c r="B24" i="2"/>
  <c r="C24" i="2" s="1"/>
  <c r="B26" i="2"/>
  <c r="C26" i="2" s="1"/>
  <c r="B27" i="2"/>
  <c r="C27" i="2" s="1"/>
  <c r="B28" i="2"/>
  <c r="C28" i="2" s="1"/>
  <c r="B30" i="2"/>
  <c r="C30" i="2" s="1"/>
  <c r="B31" i="2"/>
  <c r="C31" i="2" s="1"/>
  <c r="B32" i="2"/>
  <c r="C32" i="2" s="1"/>
  <c r="E22" i="3"/>
  <c r="E23" i="3"/>
  <c r="E24" i="3"/>
  <c r="E25" i="3"/>
  <c r="E26" i="3"/>
  <c r="E27" i="3"/>
  <c r="E28" i="3"/>
  <c r="E29" i="3"/>
  <c r="E30" i="3"/>
  <c r="E31" i="3"/>
  <c r="E32" i="3"/>
  <c r="E33" i="3"/>
  <c r="E21" i="3"/>
  <c r="F21" i="3" s="1"/>
  <c r="A22" i="3"/>
  <c r="A23" i="3"/>
  <c r="A24" i="3"/>
  <c r="A25" i="3"/>
  <c r="A26" i="3"/>
  <c r="A27" i="3"/>
  <c r="A28" i="3"/>
  <c r="A29" i="3"/>
  <c r="A30" i="3"/>
  <c r="A31" i="3"/>
  <c r="A32" i="3"/>
  <c r="A33" i="3"/>
  <c r="A21" i="3"/>
  <c r="B21" i="3" s="1"/>
  <c r="C21" i="3" s="1"/>
  <c r="B4" i="2"/>
  <c r="B5" i="2" s="1"/>
  <c r="B6" i="2" s="1"/>
  <c r="B7" i="2" s="1"/>
  <c r="B8" i="2" s="1"/>
  <c r="B9" i="2" s="1"/>
  <c r="B10" i="2" s="1"/>
  <c r="B11" i="2" s="1"/>
  <c r="B12" i="2" s="1"/>
  <c r="B13" i="2" s="1"/>
  <c r="B3" i="2"/>
  <c r="F23" i="3"/>
  <c r="G23" i="3" s="1"/>
  <c r="B3" i="3"/>
  <c r="B4" i="3" s="1"/>
  <c r="J36" i="1" l="1"/>
  <c r="F35" i="2"/>
  <c r="B35" i="2"/>
  <c r="B22" i="3"/>
  <c r="C22" i="3" s="1"/>
  <c r="F22" i="3"/>
  <c r="G22" i="3" s="1"/>
  <c r="G21" i="3"/>
  <c r="B5" i="3"/>
  <c r="B6" i="3" s="1"/>
  <c r="B7" i="3" s="1"/>
  <c r="B23" i="3"/>
  <c r="C23" i="3" s="1"/>
  <c r="B22" i="1"/>
  <c r="B25" i="1"/>
  <c r="C25" i="1" s="1"/>
  <c r="B26" i="1"/>
  <c r="C26" i="1" s="1"/>
  <c r="B30" i="1"/>
  <c r="C30" i="1" s="1"/>
  <c r="B21" i="1"/>
  <c r="B28" i="1"/>
  <c r="C28" i="1" s="1"/>
  <c r="B27" i="1"/>
  <c r="C27" i="1" s="1"/>
  <c r="B24" i="1"/>
  <c r="C24" i="1" s="1"/>
  <c r="B23" i="1"/>
  <c r="C23" i="1" s="1"/>
  <c r="B29" i="1"/>
  <c r="C29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21" i="1"/>
  <c r="B31" i="1"/>
  <c r="C31" i="1" s="1"/>
  <c r="G21" i="1" l="1"/>
  <c r="F36" i="1" s="1"/>
  <c r="F24" i="3"/>
  <c r="G24" i="3" s="1"/>
  <c r="F25" i="3"/>
  <c r="G25" i="3" s="1"/>
  <c r="B8" i="3"/>
  <c r="F26" i="3"/>
  <c r="G26" i="3" s="1"/>
  <c r="B26" i="3"/>
  <c r="C26" i="3" s="1"/>
  <c r="B25" i="3"/>
  <c r="C25" i="3" s="1"/>
  <c r="B24" i="3"/>
  <c r="C24" i="3" s="1"/>
  <c r="F35" i="1"/>
  <c r="C21" i="1"/>
  <c r="C22" i="1"/>
  <c r="B9" i="3" l="1"/>
  <c r="F27" i="3"/>
  <c r="G27" i="3" s="1"/>
  <c r="B27" i="3"/>
  <c r="C27" i="3" s="1"/>
  <c r="B35" i="1"/>
  <c r="B36" i="1"/>
  <c r="B10" i="3" l="1"/>
  <c r="F28" i="3"/>
  <c r="G28" i="3" s="1"/>
  <c r="B28" i="3"/>
  <c r="C28" i="3" s="1"/>
  <c r="B11" i="3" l="1"/>
  <c r="F29" i="3"/>
  <c r="G29" i="3" s="1"/>
  <c r="B29" i="3"/>
  <c r="C29" i="3" s="1"/>
  <c r="B12" i="3" l="1"/>
  <c r="F30" i="3"/>
  <c r="G30" i="3" s="1"/>
  <c r="B30" i="3"/>
  <c r="C30" i="3" s="1"/>
  <c r="F31" i="3" l="1"/>
  <c r="G31" i="3" s="1"/>
  <c r="B13" i="3"/>
  <c r="B31" i="3"/>
  <c r="C31" i="3" s="1"/>
  <c r="F32" i="3" l="1"/>
  <c r="G32" i="3" s="1"/>
  <c r="B14" i="3"/>
  <c r="B32" i="3"/>
  <c r="C32" i="3" s="1"/>
  <c r="B33" i="3" l="1"/>
  <c r="C33" i="3" s="1"/>
  <c r="B35" i="3" s="1"/>
  <c r="F33" i="3"/>
  <c r="G33" i="3" s="1"/>
  <c r="F35" i="3" s="1"/>
</calcChain>
</file>

<file path=xl/sharedStrings.xml><?xml version="1.0" encoding="utf-8"?>
<sst xmlns="http://schemas.openxmlformats.org/spreadsheetml/2006/main" count="50" uniqueCount="18">
  <si>
    <t>Measured (Z)</t>
  </si>
  <si>
    <t>Real(Z)</t>
  </si>
  <si>
    <t>Measured</t>
  </si>
  <si>
    <t>Real (X)</t>
  </si>
  <si>
    <t>Linear</t>
  </si>
  <si>
    <t>Error</t>
  </si>
  <si>
    <t>Abs Error</t>
  </si>
  <si>
    <t>Linear function</t>
  </si>
  <si>
    <t>Polynomial function</t>
  </si>
  <si>
    <t>Max Error</t>
  </si>
  <si>
    <t>Real (Y)</t>
  </si>
  <si>
    <t>Max error</t>
  </si>
  <si>
    <t>Sum error</t>
  </si>
  <si>
    <t>Sum Error</t>
  </si>
  <si>
    <t>3rd order polynomial function</t>
  </si>
  <si>
    <t>2nd order polynomial function</t>
  </si>
  <si>
    <t>Measurements made with Z = 1100</t>
  </si>
  <si>
    <t>Calc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</si>
</sst>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'X Axis'!$B$1</c:f>
              <c:strCache>
                <c:ptCount val="1"/>
                <c:pt idx="0">
                  <c:v>Real (X)</c:v>
                </c:pt>
              </c:strCache>
            </c:strRef>
          </c:tx>
          <c:trendline>
            <c:trendlineType val="log"/>
            <c:dispRSqr val="1"/>
            <c:dispEq val="1"/>
            <c:trendlineLbl>
              <c:layout/>
              <c:numFmt formatCode="General" sourceLinked="0"/>
            </c:trendlineLbl>
          </c:trendline>
          <c:trendline>
            <c:trendlineType val="linear"/>
            <c:dispRSqr val="1"/>
            <c:dispEq val="1"/>
            <c:trendlineLbl>
              <c:layout>
                <c:manualLayout>
                  <c:x val="0.36978783902012247"/>
                  <c:y val="-9.3395669291338579E-2"/>
                </c:manualLayout>
              </c:layout>
              <c:numFmt formatCode="#,##0.0000000000" sourceLinked="0"/>
            </c:trendlineLbl>
          </c:trendline>
          <c:xVal>
            <c:numRef>
              <c:f>'X Axis'!$A$2:$A$14</c:f>
              <c:numCache>
                <c:formatCode>General</c:formatCode>
                <c:ptCount val="13"/>
                <c:pt idx="0">
                  <c:v>-355</c:v>
                </c:pt>
                <c:pt idx="1">
                  <c:v>-297</c:v>
                </c:pt>
                <c:pt idx="2">
                  <c:v>-239</c:v>
                </c:pt>
                <c:pt idx="3">
                  <c:v>-184</c:v>
                </c:pt>
                <c:pt idx="4">
                  <c:v>-118</c:v>
                </c:pt>
                <c:pt idx="5">
                  <c:v>-59</c:v>
                </c:pt>
                <c:pt idx="6">
                  <c:v>0</c:v>
                </c:pt>
                <c:pt idx="7">
                  <c:v>59</c:v>
                </c:pt>
                <c:pt idx="8">
                  <c:v>118</c:v>
                </c:pt>
                <c:pt idx="9">
                  <c:v>174</c:v>
                </c:pt>
                <c:pt idx="10">
                  <c:v>234</c:v>
                </c:pt>
                <c:pt idx="11">
                  <c:v>295</c:v>
                </c:pt>
                <c:pt idx="12">
                  <c:v>350</c:v>
                </c:pt>
              </c:numCache>
            </c:numRef>
          </c:xVal>
          <c:yVal>
            <c:numRef>
              <c:f>'X Axis'!$B$2:$B$14</c:f>
              <c:numCache>
                <c:formatCode>General</c:formatCode>
                <c:ptCount val="13"/>
                <c:pt idx="0">
                  <c:v>-300</c:v>
                </c:pt>
                <c:pt idx="1">
                  <c:v>-250</c:v>
                </c:pt>
                <c:pt idx="2">
                  <c:v>-200</c:v>
                </c:pt>
                <c:pt idx="3">
                  <c:v>-150</c:v>
                </c:pt>
                <c:pt idx="4">
                  <c:v>-100</c:v>
                </c:pt>
                <c:pt idx="5">
                  <c:v>-50</c:v>
                </c:pt>
                <c:pt idx="6">
                  <c:v>0</c:v>
                </c:pt>
                <c:pt idx="7">
                  <c:v>50</c:v>
                </c:pt>
                <c:pt idx="8">
                  <c:v>100</c:v>
                </c:pt>
                <c:pt idx="9">
                  <c:v>150</c:v>
                </c:pt>
                <c:pt idx="10">
                  <c:v>200</c:v>
                </c:pt>
                <c:pt idx="11">
                  <c:v>250</c:v>
                </c:pt>
                <c:pt idx="12">
                  <c:v>300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978944"/>
        <c:axId val="44977152"/>
      </c:scatterChart>
      <c:valAx>
        <c:axId val="44978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4977152"/>
        <c:crosses val="autoZero"/>
        <c:crossBetween val="midCat"/>
      </c:valAx>
      <c:valAx>
        <c:axId val="449771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497894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'Y Axis'!$B$1</c:f>
              <c:strCache>
                <c:ptCount val="1"/>
                <c:pt idx="0">
                  <c:v>Real (Y)</c:v>
                </c:pt>
              </c:strCache>
            </c:strRef>
          </c:tx>
          <c:trendline>
            <c:trendlineType val="linear"/>
            <c:dispRSqr val="1"/>
            <c:dispEq val="1"/>
            <c:trendlineLbl>
              <c:layout>
                <c:manualLayout>
                  <c:x val="0.37222222222222223"/>
                  <c:y val="-0.1028477690288714"/>
                </c:manualLayout>
              </c:layout>
              <c:numFmt formatCode="#,##0.0000000000" sourceLinked="0"/>
            </c:trendlineLbl>
          </c:trendline>
          <c:xVal>
            <c:numRef>
              <c:f>'Y Axis'!$A$2:$A$13</c:f>
              <c:numCache>
                <c:formatCode>General</c:formatCode>
                <c:ptCount val="12"/>
                <c:pt idx="0">
                  <c:v>1</c:v>
                </c:pt>
                <c:pt idx="1">
                  <c:v>-62</c:v>
                </c:pt>
                <c:pt idx="2">
                  <c:v>-122</c:v>
                </c:pt>
                <c:pt idx="3">
                  <c:v>-183</c:v>
                </c:pt>
                <c:pt idx="4">
                  <c:v>-246</c:v>
                </c:pt>
                <c:pt idx="5">
                  <c:v>-302</c:v>
                </c:pt>
                <c:pt idx="6">
                  <c:v>-364</c:v>
                </c:pt>
                <c:pt idx="7">
                  <c:v>-427</c:v>
                </c:pt>
                <c:pt idx="8">
                  <c:v>-489</c:v>
                </c:pt>
                <c:pt idx="9">
                  <c:v>-553</c:v>
                </c:pt>
                <c:pt idx="10">
                  <c:v>-611</c:v>
                </c:pt>
                <c:pt idx="11">
                  <c:v>-681</c:v>
                </c:pt>
              </c:numCache>
            </c:numRef>
          </c:xVal>
          <c:yVal>
            <c:numRef>
              <c:f>'Y Axis'!$B$2:$B$13</c:f>
              <c:numCache>
                <c:formatCode>General</c:formatCode>
                <c:ptCount val="12"/>
                <c:pt idx="0">
                  <c:v>0</c:v>
                </c:pt>
                <c:pt idx="1">
                  <c:v>-50</c:v>
                </c:pt>
                <c:pt idx="2">
                  <c:v>-100</c:v>
                </c:pt>
                <c:pt idx="3">
                  <c:v>-150</c:v>
                </c:pt>
                <c:pt idx="4">
                  <c:v>-200</c:v>
                </c:pt>
                <c:pt idx="5">
                  <c:v>-250</c:v>
                </c:pt>
                <c:pt idx="6">
                  <c:v>-300</c:v>
                </c:pt>
                <c:pt idx="7">
                  <c:v>-350</c:v>
                </c:pt>
                <c:pt idx="8">
                  <c:v>-400</c:v>
                </c:pt>
                <c:pt idx="9">
                  <c:v>-450</c:v>
                </c:pt>
                <c:pt idx="10">
                  <c:v>-500</c:v>
                </c:pt>
                <c:pt idx="11">
                  <c:v>-550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230336"/>
        <c:axId val="45228800"/>
      </c:scatterChart>
      <c:valAx>
        <c:axId val="45230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5228800"/>
        <c:crosses val="autoZero"/>
        <c:crossBetween val="midCat"/>
      </c:valAx>
      <c:valAx>
        <c:axId val="452288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523033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'Z Axis'!$B$1</c:f>
              <c:strCache>
                <c:ptCount val="1"/>
                <c:pt idx="0">
                  <c:v>Real(Z)</c:v>
                </c:pt>
              </c:strCache>
            </c:strRef>
          </c:tx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0.42263599567687871"/>
                  <c:y val="0.50890018955963834"/>
                </c:manualLayout>
              </c:layout>
              <c:numFmt formatCode="#,##0.0000000000" sourceLinked="0"/>
            </c:trendlineLbl>
          </c:trendline>
          <c:xVal>
            <c:numRef>
              <c:f>'Z Axis'!$A$2:$A$12</c:f>
              <c:numCache>
                <c:formatCode>General</c:formatCode>
                <c:ptCount val="11"/>
                <c:pt idx="0">
                  <c:v>525</c:v>
                </c:pt>
                <c:pt idx="1">
                  <c:v>642</c:v>
                </c:pt>
                <c:pt idx="2">
                  <c:v>770</c:v>
                </c:pt>
                <c:pt idx="3">
                  <c:v>892</c:v>
                </c:pt>
                <c:pt idx="4">
                  <c:v>1033</c:v>
                </c:pt>
                <c:pt idx="5">
                  <c:v>1170</c:v>
                </c:pt>
                <c:pt idx="6">
                  <c:v>1319</c:v>
                </c:pt>
                <c:pt idx="7">
                  <c:v>1476</c:v>
                </c:pt>
                <c:pt idx="8">
                  <c:v>1632</c:v>
                </c:pt>
                <c:pt idx="9">
                  <c:v>1797</c:v>
                </c:pt>
                <c:pt idx="10">
                  <c:v>1968</c:v>
                </c:pt>
              </c:numCache>
            </c:numRef>
          </c:xVal>
          <c:yVal>
            <c:numRef>
              <c:f>'Z Axis'!$B$2:$B$12</c:f>
              <c:numCache>
                <c:formatCode>General</c:formatCode>
                <c:ptCount val="11"/>
                <c:pt idx="0">
                  <c:v>500</c:v>
                </c:pt>
                <c:pt idx="1">
                  <c:v>600</c:v>
                </c:pt>
                <c:pt idx="2">
                  <c:v>700</c:v>
                </c:pt>
                <c:pt idx="3">
                  <c:v>800</c:v>
                </c:pt>
                <c:pt idx="4">
                  <c:v>900</c:v>
                </c:pt>
                <c:pt idx="5">
                  <c:v>1000</c:v>
                </c:pt>
                <c:pt idx="6">
                  <c:v>1100</c:v>
                </c:pt>
                <c:pt idx="7">
                  <c:v>1200</c:v>
                </c:pt>
                <c:pt idx="8">
                  <c:v>1300</c:v>
                </c:pt>
                <c:pt idx="9">
                  <c:v>1400</c:v>
                </c:pt>
                <c:pt idx="10">
                  <c:v>1500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55040"/>
        <c:axId val="84856832"/>
      </c:scatterChart>
      <c:valAx>
        <c:axId val="84855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4856832"/>
        <c:crosses val="autoZero"/>
        <c:crossBetween val="midCat"/>
      </c:valAx>
      <c:valAx>
        <c:axId val="848568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485504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14287</xdr:rowOff>
    </xdr:from>
    <xdr:to>
      <xdr:col>10</xdr:col>
      <xdr:colOff>304800</xdr:colOff>
      <xdr:row>15</xdr:row>
      <xdr:rowOff>90487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</xdr:row>
      <xdr:rowOff>14287</xdr:rowOff>
    </xdr:from>
    <xdr:to>
      <xdr:col>11</xdr:col>
      <xdr:colOff>314325</xdr:colOff>
      <xdr:row>15</xdr:row>
      <xdr:rowOff>90487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9526</xdr:colOff>
      <xdr:row>1</xdr:row>
      <xdr:rowOff>4762</xdr:rowOff>
    </xdr:from>
    <xdr:to>
      <xdr:col>11</xdr:col>
      <xdr:colOff>142876</xdr:colOff>
      <xdr:row>15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workbookViewId="0">
      <selection activeCell="E20" sqref="E20"/>
    </sheetView>
  </sheetViews>
  <sheetFormatPr defaultRowHeight="15" x14ac:dyDescent="0.25"/>
  <cols>
    <col min="1" max="1" width="9.85546875" bestFit="1" customWidth="1"/>
  </cols>
  <sheetData>
    <row r="1" spans="1:2" x14ac:dyDescent="0.25">
      <c r="A1" t="s">
        <v>2</v>
      </c>
      <c r="B1" t="s">
        <v>3</v>
      </c>
    </row>
    <row r="2" spans="1:2" x14ac:dyDescent="0.25">
      <c r="A2">
        <v>-355</v>
      </c>
      <c r="B2">
        <v>-300</v>
      </c>
    </row>
    <row r="3" spans="1:2" x14ac:dyDescent="0.25">
      <c r="A3">
        <v>-297</v>
      </c>
      <c r="B3">
        <f>B2+50</f>
        <v>-250</v>
      </c>
    </row>
    <row r="4" spans="1:2" x14ac:dyDescent="0.25">
      <c r="A4">
        <v>-239</v>
      </c>
      <c r="B4">
        <f t="shared" ref="B4:B14" si="0">B3+50</f>
        <v>-200</v>
      </c>
    </row>
    <row r="5" spans="1:2" x14ac:dyDescent="0.25">
      <c r="A5">
        <v>-184</v>
      </c>
      <c r="B5">
        <f t="shared" si="0"/>
        <v>-150</v>
      </c>
    </row>
    <row r="6" spans="1:2" x14ac:dyDescent="0.25">
      <c r="A6">
        <v>-118</v>
      </c>
      <c r="B6">
        <f t="shared" si="0"/>
        <v>-100</v>
      </c>
    </row>
    <row r="7" spans="1:2" x14ac:dyDescent="0.25">
      <c r="A7">
        <v>-59</v>
      </c>
      <c r="B7">
        <f t="shared" si="0"/>
        <v>-50</v>
      </c>
    </row>
    <row r="8" spans="1:2" x14ac:dyDescent="0.25">
      <c r="A8">
        <v>0</v>
      </c>
      <c r="B8">
        <f t="shared" si="0"/>
        <v>0</v>
      </c>
    </row>
    <row r="9" spans="1:2" x14ac:dyDescent="0.25">
      <c r="A9">
        <v>59</v>
      </c>
      <c r="B9">
        <f t="shared" si="0"/>
        <v>50</v>
      </c>
    </row>
    <row r="10" spans="1:2" x14ac:dyDescent="0.25">
      <c r="A10">
        <v>118</v>
      </c>
      <c r="B10">
        <f t="shared" si="0"/>
        <v>100</v>
      </c>
    </row>
    <row r="11" spans="1:2" x14ac:dyDescent="0.25">
      <c r="A11">
        <v>174</v>
      </c>
      <c r="B11">
        <f t="shared" si="0"/>
        <v>150</v>
      </c>
    </row>
    <row r="12" spans="1:2" x14ac:dyDescent="0.25">
      <c r="A12">
        <v>234</v>
      </c>
      <c r="B12">
        <f t="shared" si="0"/>
        <v>200</v>
      </c>
    </row>
    <row r="13" spans="1:2" x14ac:dyDescent="0.25">
      <c r="A13">
        <v>295</v>
      </c>
      <c r="B13">
        <f t="shared" si="0"/>
        <v>250</v>
      </c>
    </row>
    <row r="14" spans="1:2" x14ac:dyDescent="0.25">
      <c r="A14">
        <v>350</v>
      </c>
      <c r="B14">
        <f t="shared" si="0"/>
        <v>300</v>
      </c>
    </row>
    <row r="16" spans="1:2" x14ac:dyDescent="0.25">
      <c r="A16" t="s">
        <v>16</v>
      </c>
    </row>
    <row r="18" spans="1:7" x14ac:dyDescent="0.25">
      <c r="A18" t="s">
        <v>7</v>
      </c>
      <c r="E18" t="s">
        <v>8</v>
      </c>
    </row>
    <row r="20" spans="1:7" x14ac:dyDescent="0.25">
      <c r="A20" t="s">
        <v>17</v>
      </c>
      <c r="B20" t="s">
        <v>5</v>
      </c>
      <c r="C20" t="s">
        <v>6</v>
      </c>
      <c r="E20" t="s">
        <v>17</v>
      </c>
      <c r="F20" t="s">
        <v>5</v>
      </c>
      <c r="G20" t="s">
        <v>6</v>
      </c>
    </row>
    <row r="21" spans="1:7" x14ac:dyDescent="0.25">
      <c r="A21">
        <f>0.8467541032*A2+1.4329684824</f>
        <v>-299.16473815360001</v>
      </c>
      <c r="B21">
        <f>A21-B2</f>
        <v>0.83526184639998746</v>
      </c>
      <c r="C21">
        <f>ABS(B21)</f>
        <v>0.83526184639998746</v>
      </c>
      <c r="E21">
        <f xml:space="preserve"> 0.0000114697*A2^2 + 0.8468104299*A2 + 0.8731836657</f>
        <v>-298.29905000629998</v>
      </c>
      <c r="F21">
        <f>E21-B2</f>
        <v>1.7009499937000214</v>
      </c>
      <c r="G21">
        <f>ABS(F21)</f>
        <v>1.7009499937000214</v>
      </c>
    </row>
    <row r="22" spans="1:7" x14ac:dyDescent="0.25">
      <c r="A22">
        <f>0.8467541032*A3+1.4329684824</f>
        <v>-250.05300016799998</v>
      </c>
      <c r="B22">
        <f>A22-B3</f>
        <v>-5.300016799998275E-2</v>
      </c>
      <c r="C22">
        <f t="shared" ref="C22:C33" si="1">ABS(B22)</f>
        <v>5.300016799998275E-2</v>
      </c>
      <c r="E22">
        <f xml:space="preserve"> 0.0000114697*A3^2 + 0.8468104299*A3 + 0.8731836657</f>
        <v>-249.6177832473</v>
      </c>
      <c r="F22">
        <f>E22-B3</f>
        <v>0.38221675270000333</v>
      </c>
      <c r="G22">
        <f t="shared" ref="G22:G33" si="2">ABS(F22)</f>
        <v>0.38221675270000333</v>
      </c>
    </row>
    <row r="23" spans="1:7" x14ac:dyDescent="0.25">
      <c r="A23">
        <f>0.8467541032*A4+1.4329684824</f>
        <v>-200.94126218239998</v>
      </c>
      <c r="B23">
        <f>A23-B4</f>
        <v>-0.94126218239998138</v>
      </c>
      <c r="C23">
        <f t="shared" si="1"/>
        <v>0.94126218239998138</v>
      </c>
      <c r="E23">
        <f xml:space="preserve"> 0.0000114697*A4^2 + 0.8468104299*A4 + 0.8731836657</f>
        <v>-200.85934834669999</v>
      </c>
      <c r="F23">
        <f>E23-B4</f>
        <v>-0.8593483466999885</v>
      </c>
      <c r="G23">
        <f t="shared" si="2"/>
        <v>0.8593483466999885</v>
      </c>
    </row>
    <row r="24" spans="1:7" x14ac:dyDescent="0.25">
      <c r="A24">
        <f>0.8467541032*A5+1.4329684824</f>
        <v>-154.36978650639998</v>
      </c>
      <c r="B24">
        <f>A24-B5</f>
        <v>-4.3697865063999757</v>
      </c>
      <c r="C24">
        <f t="shared" si="1"/>
        <v>4.3697865063999757</v>
      </c>
      <c r="E24">
        <f xml:space="preserve"> 0.0000114697*A5^2 + 0.8468104299*A5 + 0.8731836657</f>
        <v>-154.55161727269999</v>
      </c>
      <c r="F24">
        <f>E24-B5</f>
        <v>-4.5516172726999855</v>
      </c>
      <c r="G24">
        <f t="shared" si="2"/>
        <v>4.5516172726999855</v>
      </c>
    </row>
    <row r="25" spans="1:7" x14ac:dyDescent="0.25">
      <c r="A25">
        <f>0.8467541032*A6+1.4329684824</f>
        <v>-98.4840156952</v>
      </c>
      <c r="B25">
        <f>A25-B6</f>
        <v>1.5159843047999999</v>
      </c>
      <c r="C25">
        <f t="shared" si="1"/>
        <v>1.5159843047999999</v>
      </c>
      <c r="E25">
        <f xml:space="preserve"> 0.0000114697*A6^2 + 0.8468104299*A6 + 0.8731836657</f>
        <v>-98.890742959699992</v>
      </c>
      <c r="F25">
        <f>E25-B6</f>
        <v>1.1092570403000082</v>
      </c>
      <c r="G25">
        <f t="shared" si="2"/>
        <v>1.1092570403000082</v>
      </c>
    </row>
    <row r="26" spans="1:7" x14ac:dyDescent="0.25">
      <c r="A26">
        <f>0.8467541032*A7+1.4329684824</f>
        <v>-48.5255236064</v>
      </c>
      <c r="B26">
        <f>A26-B7</f>
        <v>1.4744763935999998</v>
      </c>
      <c r="C26">
        <f t="shared" si="1"/>
        <v>1.4744763935999998</v>
      </c>
      <c r="E26">
        <f xml:space="preserve"> 0.0000114697*A7^2 + 0.8468104299*A7 + 0.8731836657</f>
        <v>-49.048705672700002</v>
      </c>
      <c r="F26">
        <f>E26-B7</f>
        <v>0.95129432729999763</v>
      </c>
      <c r="G26">
        <f t="shared" si="2"/>
        <v>0.95129432729999763</v>
      </c>
    </row>
    <row r="27" spans="1:7" x14ac:dyDescent="0.25">
      <c r="A27">
        <f>0.8467541032*A8+1.4329684824</f>
        <v>1.4329684824</v>
      </c>
      <c r="B27">
        <f>A27-B8</f>
        <v>1.4329684824</v>
      </c>
      <c r="C27">
        <f t="shared" si="1"/>
        <v>1.4329684824</v>
      </c>
      <c r="E27">
        <f xml:space="preserve"> 0.0000114697*A8^2 + 0.8468104299*A8 + 0.8731836657</f>
        <v>0.87318366569999994</v>
      </c>
      <c r="F27">
        <f>E27-B8</f>
        <v>0.87318366569999994</v>
      </c>
      <c r="G27">
        <f t="shared" si="2"/>
        <v>0.87318366569999994</v>
      </c>
    </row>
    <row r="28" spans="1:7" x14ac:dyDescent="0.25">
      <c r="A28">
        <f>0.8467541032*A9+1.4329684824</f>
        <v>51.3914605712</v>
      </c>
      <c r="B28">
        <f>A28-B9</f>
        <v>1.3914605711999997</v>
      </c>
      <c r="C28">
        <f t="shared" si="1"/>
        <v>1.3914605711999997</v>
      </c>
      <c r="E28">
        <f xml:space="preserve"> 0.0000114697*A9^2 + 0.8468104299*A9 + 0.8731836657</f>
        <v>50.874925055499993</v>
      </c>
      <c r="F28">
        <f>E28-B9</f>
        <v>0.87492505549999322</v>
      </c>
      <c r="G28">
        <f t="shared" si="2"/>
        <v>0.87492505549999322</v>
      </c>
    </row>
    <row r="29" spans="1:7" x14ac:dyDescent="0.25">
      <c r="A29">
        <f>0.8467541032*A10+1.4329684824</f>
        <v>101.34995266</v>
      </c>
      <c r="B29">
        <f>A29-B10</f>
        <v>1.3499526599999996</v>
      </c>
      <c r="C29">
        <f t="shared" si="1"/>
        <v>1.3499526599999996</v>
      </c>
      <c r="E29">
        <f xml:space="preserve"> 0.0000114697*A10^2 + 0.8468104299*A10 + 0.8731836657</f>
        <v>100.9565184967</v>
      </c>
      <c r="F29">
        <f>E29-B10</f>
        <v>0.95651849669999933</v>
      </c>
      <c r="G29">
        <f t="shared" si="2"/>
        <v>0.95651849669999933</v>
      </c>
    </row>
    <row r="30" spans="1:7" x14ac:dyDescent="0.25">
      <c r="A30">
        <f>0.8467541032*A11+1.4329684824</f>
        <v>148.76818243920002</v>
      </c>
      <c r="B30">
        <f>A30-B11</f>
        <v>-1.2318175607999819</v>
      </c>
      <c r="C30">
        <f t="shared" si="1"/>
        <v>1.2318175607999819</v>
      </c>
      <c r="E30">
        <f xml:space="preserve"> 0.0000114697*A11^2 + 0.8468104299*A11 + 0.8731836657</f>
        <v>148.56545510549998</v>
      </c>
      <c r="F30">
        <f>E30-B11</f>
        <v>-1.4345448945000214</v>
      </c>
      <c r="G30">
        <f t="shared" si="2"/>
        <v>1.4345448945000214</v>
      </c>
    </row>
    <row r="31" spans="1:7" x14ac:dyDescent="0.25">
      <c r="A31">
        <f>0.8467541032*A12+1.4329684824</f>
        <v>199.57342863120002</v>
      </c>
      <c r="B31">
        <f>A31-B12</f>
        <v>-0.42657136879998347</v>
      </c>
      <c r="C31">
        <f t="shared" si="1"/>
        <v>0.42657136879998347</v>
      </c>
      <c r="E31">
        <f xml:space="preserve"> 0.0000114697*A12^2 + 0.8468104299*A12 + 0.8731836657</f>
        <v>199.65485915549999</v>
      </c>
      <c r="F31">
        <f>E31-B12</f>
        <v>-0.34514084450000837</v>
      </c>
      <c r="G31">
        <f t="shared" si="2"/>
        <v>0.34514084450000837</v>
      </c>
    </row>
    <row r="32" spans="1:7" x14ac:dyDescent="0.25">
      <c r="A32">
        <f>0.8467541032*A13+1.4329684824</f>
        <v>251.22542892640001</v>
      </c>
      <c r="B32">
        <f>A32-B13</f>
        <v>1.2254289264000136</v>
      </c>
      <c r="C32">
        <f t="shared" si="1"/>
        <v>1.2254289264000136</v>
      </c>
      <c r="E32">
        <f xml:space="preserve"> 0.0000114697*A13^2 + 0.8468104299*A13 + 0.8731836657</f>
        <v>251.6804111287</v>
      </c>
      <c r="F32">
        <f>E32-B13</f>
        <v>1.6804111287000012</v>
      </c>
      <c r="G32">
        <f t="shared" si="2"/>
        <v>1.6804111287000012</v>
      </c>
    </row>
    <row r="33" spans="1:7" x14ac:dyDescent="0.25">
      <c r="A33">
        <f>0.8467541032*A14+1.4329684824</f>
        <v>297.79690460239999</v>
      </c>
      <c r="B33">
        <f>A33-B14</f>
        <v>-2.2030953976000092</v>
      </c>
      <c r="C33">
        <f t="shared" si="1"/>
        <v>2.2030953976000092</v>
      </c>
      <c r="E33">
        <f xml:space="preserve"> 0.0000114697*A14^2 + 0.8468104299*A14 + 0.8731836657</f>
        <v>298.66187238070006</v>
      </c>
      <c r="F33">
        <f>E33-B14</f>
        <v>-1.3381276192999394</v>
      </c>
      <c r="G33">
        <f t="shared" si="2"/>
        <v>1.3381276192999394</v>
      </c>
    </row>
    <row r="35" spans="1:7" x14ac:dyDescent="0.25">
      <c r="A35" t="s">
        <v>11</v>
      </c>
      <c r="B35">
        <f>MAX(C21:C33)</f>
        <v>4.3697865063999757</v>
      </c>
      <c r="E35" t="s">
        <v>9</v>
      </c>
      <c r="F35">
        <f>MAX(G21:G33)</f>
        <v>4.5516172726999855</v>
      </c>
    </row>
    <row r="36" spans="1:7" x14ac:dyDescent="0.25">
      <c r="A36" t="s">
        <v>12</v>
      </c>
      <c r="B36">
        <f>SUM(C21:C33)</f>
        <v>18.451066368799914</v>
      </c>
      <c r="E36" t="s">
        <v>13</v>
      </c>
      <c r="F36">
        <f>SUM(G21:G33)</f>
        <v>17.057535438299965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abSelected="1" topLeftCell="A7" workbookViewId="0">
      <selection activeCell="A21" sqref="A21"/>
    </sheetView>
  </sheetViews>
  <sheetFormatPr defaultRowHeight="15" x14ac:dyDescent="0.25"/>
  <cols>
    <col min="1" max="1" width="9.85546875" bestFit="1" customWidth="1"/>
  </cols>
  <sheetData>
    <row r="1" spans="1:2" x14ac:dyDescent="0.25">
      <c r="A1" t="s">
        <v>2</v>
      </c>
      <c r="B1" t="s">
        <v>10</v>
      </c>
    </row>
    <row r="2" spans="1:2" x14ac:dyDescent="0.25">
      <c r="A2">
        <v>1</v>
      </c>
      <c r="B2">
        <v>0</v>
      </c>
    </row>
    <row r="3" spans="1:2" x14ac:dyDescent="0.25">
      <c r="A3">
        <v>-62</v>
      </c>
      <c r="B3">
        <f>B2-50</f>
        <v>-50</v>
      </c>
    </row>
    <row r="4" spans="1:2" x14ac:dyDescent="0.25">
      <c r="A4">
        <v>-122</v>
      </c>
      <c r="B4">
        <f t="shared" ref="B4:B13" si="0">B3-50</f>
        <v>-100</v>
      </c>
    </row>
    <row r="5" spans="1:2" x14ac:dyDescent="0.25">
      <c r="A5">
        <v>-183</v>
      </c>
      <c r="B5">
        <f t="shared" si="0"/>
        <v>-150</v>
      </c>
    </row>
    <row r="6" spans="1:2" x14ac:dyDescent="0.25">
      <c r="A6">
        <v>-246</v>
      </c>
      <c r="B6">
        <f t="shared" si="0"/>
        <v>-200</v>
      </c>
    </row>
    <row r="7" spans="1:2" x14ac:dyDescent="0.25">
      <c r="A7">
        <v>-302</v>
      </c>
      <c r="B7">
        <f t="shared" si="0"/>
        <v>-250</v>
      </c>
    </row>
    <row r="8" spans="1:2" x14ac:dyDescent="0.25">
      <c r="A8">
        <v>-364</v>
      </c>
      <c r="B8">
        <f t="shared" si="0"/>
        <v>-300</v>
      </c>
    </row>
    <row r="9" spans="1:2" x14ac:dyDescent="0.25">
      <c r="A9">
        <v>-427</v>
      </c>
      <c r="B9">
        <f t="shared" si="0"/>
        <v>-350</v>
      </c>
    </row>
    <row r="10" spans="1:2" x14ac:dyDescent="0.25">
      <c r="A10">
        <v>-489</v>
      </c>
      <c r="B10">
        <f t="shared" si="0"/>
        <v>-400</v>
      </c>
    </row>
    <row r="11" spans="1:2" x14ac:dyDescent="0.25">
      <c r="A11">
        <v>-553</v>
      </c>
      <c r="B11">
        <f t="shared" si="0"/>
        <v>-450</v>
      </c>
    </row>
    <row r="12" spans="1:2" x14ac:dyDescent="0.25">
      <c r="A12">
        <v>-611</v>
      </c>
      <c r="B12">
        <f t="shared" si="0"/>
        <v>-500</v>
      </c>
    </row>
    <row r="13" spans="1:2" x14ac:dyDescent="0.25">
      <c r="A13">
        <v>-681</v>
      </c>
      <c r="B13">
        <f t="shared" si="0"/>
        <v>-550</v>
      </c>
    </row>
    <row r="16" spans="1:2" x14ac:dyDescent="0.25">
      <c r="A16" t="s">
        <v>16</v>
      </c>
    </row>
    <row r="18" spans="1:7" x14ac:dyDescent="0.25">
      <c r="A18" t="s">
        <v>7</v>
      </c>
      <c r="E18" t="s">
        <v>8</v>
      </c>
    </row>
    <row r="20" spans="1:7" x14ac:dyDescent="0.25">
      <c r="A20" t="s">
        <v>17</v>
      </c>
      <c r="B20" t="s">
        <v>5</v>
      </c>
      <c r="C20" t="s">
        <v>6</v>
      </c>
      <c r="E20" t="s">
        <v>17</v>
      </c>
      <c r="F20" t="s">
        <v>5</v>
      </c>
      <c r="G20" t="s">
        <v>6</v>
      </c>
    </row>
    <row r="21" spans="1:7" x14ac:dyDescent="0.25">
      <c r="A21">
        <f>0.812604616*A2 - 1.4908296603</f>
        <v>-0.67822504429999997</v>
      </c>
      <c r="B21">
        <f>A21-B2</f>
        <v>-0.67822504429999997</v>
      </c>
      <c r="C21">
        <f>ABS(B21)</f>
        <v>0.67822504429999997</v>
      </c>
      <c r="E21">
        <f>0.0000351252*A2^2 + 0.8364116378*A2 + 0.9584531524</f>
        <v>1.7948999154</v>
      </c>
      <c r="F21">
        <f>E21-B2</f>
        <v>1.7948999154</v>
      </c>
      <c r="G21">
        <f>ABS(F21)</f>
        <v>1.7948999154</v>
      </c>
    </row>
    <row r="22" spans="1:7" x14ac:dyDescent="0.25">
      <c r="A22">
        <f t="shared" ref="A22:A32" si="1">0.812604616*A3 - 1.4908296603</f>
        <v>-51.872315852299998</v>
      </c>
      <c r="B22">
        <f t="shared" ref="B22:B32" si="2">A22-B3</f>
        <v>-1.8723158522999981</v>
      </c>
      <c r="C22">
        <f t="shared" ref="C22:C32" si="3">ABS(B22)</f>
        <v>1.8723158522999981</v>
      </c>
      <c r="E22">
        <f t="shared" ref="E22:E32" si="4">0.0000351252*A3^2 + 0.8364116378*A3 + 0.9584531524</f>
        <v>-50.764047122400001</v>
      </c>
      <c r="F22">
        <f t="shared" ref="F22:F32" si="5">E22-B3</f>
        <v>-0.76404712240000094</v>
      </c>
      <c r="G22">
        <f t="shared" ref="G22:G32" si="6">ABS(F22)</f>
        <v>0.76404712240000094</v>
      </c>
    </row>
    <row r="23" spans="1:7" x14ac:dyDescent="0.25">
      <c r="A23">
        <f t="shared" si="1"/>
        <v>-100.6285928123</v>
      </c>
      <c r="B23">
        <f t="shared" si="2"/>
        <v>-0.62859281229999908</v>
      </c>
      <c r="C23">
        <f t="shared" si="3"/>
        <v>0.62859281229999908</v>
      </c>
      <c r="E23">
        <f t="shared" si="4"/>
        <v>-100.56096318240002</v>
      </c>
      <c r="F23">
        <f t="shared" si="5"/>
        <v>-0.56096318240001608</v>
      </c>
      <c r="G23">
        <f t="shared" si="6"/>
        <v>0.56096318240001608</v>
      </c>
    </row>
    <row r="24" spans="1:7" x14ac:dyDescent="0.25">
      <c r="A24">
        <f t="shared" si="1"/>
        <v>-150.19747438829998</v>
      </c>
      <c r="B24">
        <f t="shared" si="2"/>
        <v>-0.19747438829998032</v>
      </c>
      <c r="C24">
        <f t="shared" si="3"/>
        <v>0.19747438829998032</v>
      </c>
      <c r="E24">
        <f t="shared" si="4"/>
        <v>-150.92856874220001</v>
      </c>
      <c r="F24">
        <f t="shared" si="5"/>
        <v>-0.92856874220001373</v>
      </c>
      <c r="G24">
        <f t="shared" si="6"/>
        <v>0.92856874220001373</v>
      </c>
    </row>
    <row r="25" spans="1:7" x14ac:dyDescent="0.25">
      <c r="A25">
        <f t="shared" si="1"/>
        <v>-201.39156519630001</v>
      </c>
      <c r="B25">
        <f t="shared" si="2"/>
        <v>-1.3915651963000073</v>
      </c>
      <c r="C25">
        <f t="shared" si="3"/>
        <v>1.3915651963000073</v>
      </c>
      <c r="E25">
        <f t="shared" si="4"/>
        <v>-202.67317314319999</v>
      </c>
      <c r="F25">
        <f t="shared" si="5"/>
        <v>-2.673173143199989</v>
      </c>
      <c r="G25">
        <f t="shared" si="6"/>
        <v>2.673173143199989</v>
      </c>
    </row>
    <row r="26" spans="1:7" x14ac:dyDescent="0.25">
      <c r="A26">
        <f t="shared" si="1"/>
        <v>-246.89742369229998</v>
      </c>
      <c r="B26">
        <f t="shared" si="2"/>
        <v>3.1025763077000192</v>
      </c>
      <c r="C26">
        <f t="shared" si="3"/>
        <v>3.1025763077000192</v>
      </c>
      <c r="E26">
        <f t="shared" si="4"/>
        <v>-248.43430272240002</v>
      </c>
      <c r="F26">
        <f t="shared" si="5"/>
        <v>1.5656972775999805</v>
      </c>
      <c r="G26">
        <f t="shared" si="6"/>
        <v>1.5656972775999805</v>
      </c>
    </row>
    <row r="27" spans="1:7" x14ac:dyDescent="0.25">
      <c r="A27">
        <f t="shared" si="1"/>
        <v>-297.27890988429999</v>
      </c>
      <c r="B27">
        <f t="shared" si="2"/>
        <v>2.721090115700008</v>
      </c>
      <c r="C27">
        <f t="shared" si="3"/>
        <v>2.721090115700008</v>
      </c>
      <c r="E27">
        <f t="shared" si="4"/>
        <v>-298.84143450760001</v>
      </c>
      <c r="F27">
        <f t="shared" si="5"/>
        <v>1.1585654923999869</v>
      </c>
      <c r="G27">
        <f t="shared" si="6"/>
        <v>1.1585654923999869</v>
      </c>
    </row>
    <row r="28" spans="1:7" x14ac:dyDescent="0.25">
      <c r="A28">
        <f t="shared" si="1"/>
        <v>-348.47300069229999</v>
      </c>
      <c r="B28">
        <f t="shared" si="2"/>
        <v>1.5269993077000095</v>
      </c>
      <c r="C28">
        <f t="shared" si="3"/>
        <v>1.5269993077000095</v>
      </c>
      <c r="E28">
        <f t="shared" si="4"/>
        <v>-349.78497359739998</v>
      </c>
      <c r="F28">
        <f t="shared" si="5"/>
        <v>0.21502640260001726</v>
      </c>
      <c r="G28">
        <f t="shared" si="6"/>
        <v>0.21502640260001726</v>
      </c>
    </row>
    <row r="29" spans="1:7" x14ac:dyDescent="0.25">
      <c r="A29">
        <f t="shared" si="1"/>
        <v>-398.8544868843</v>
      </c>
      <c r="B29">
        <f t="shared" si="2"/>
        <v>1.1455131156999983</v>
      </c>
      <c r="C29">
        <f t="shared" si="3"/>
        <v>1.1455131156999983</v>
      </c>
      <c r="E29">
        <f t="shared" si="4"/>
        <v>-399.64766478259997</v>
      </c>
      <c r="F29">
        <f t="shared" si="5"/>
        <v>0.35233521740002516</v>
      </c>
      <c r="G29">
        <f t="shared" si="6"/>
        <v>0.35233521740002516</v>
      </c>
    </row>
    <row r="30" spans="1:7" x14ac:dyDescent="0.25">
      <c r="A30">
        <f t="shared" si="1"/>
        <v>-450.86118230829999</v>
      </c>
      <c r="B30">
        <f t="shared" si="2"/>
        <v>-0.86118230829998765</v>
      </c>
      <c r="C30">
        <f t="shared" si="3"/>
        <v>0.86118230829998765</v>
      </c>
      <c r="E30">
        <f t="shared" si="4"/>
        <v>-450.83558026420002</v>
      </c>
      <c r="F30">
        <f t="shared" si="5"/>
        <v>-0.83558026420001852</v>
      </c>
      <c r="G30">
        <f t="shared" si="6"/>
        <v>0.83558026420001852</v>
      </c>
    </row>
    <row r="31" spans="1:7" x14ac:dyDescent="0.25">
      <c r="A31">
        <f t="shared" si="1"/>
        <v>-497.99225003629999</v>
      </c>
      <c r="B31">
        <f t="shared" si="2"/>
        <v>2.0077499637000074</v>
      </c>
      <c r="C31">
        <f t="shared" si="3"/>
        <v>2.0077499637000074</v>
      </c>
      <c r="E31">
        <f t="shared" si="4"/>
        <v>-496.97608275420004</v>
      </c>
      <c r="F31">
        <f t="shared" si="5"/>
        <v>3.0239172457999643</v>
      </c>
      <c r="G31">
        <f t="shared" si="6"/>
        <v>3.0239172457999643</v>
      </c>
    </row>
    <row r="32" spans="1:7" x14ac:dyDescent="0.25">
      <c r="A32">
        <f t="shared" si="1"/>
        <v>-554.87457315630002</v>
      </c>
      <c r="B32">
        <f t="shared" si="2"/>
        <v>-4.8745731563000163</v>
      </c>
      <c r="C32">
        <f t="shared" si="3"/>
        <v>4.8745731563000163</v>
      </c>
      <c r="E32">
        <f t="shared" si="4"/>
        <v>-552.34817431220006</v>
      </c>
      <c r="F32">
        <f t="shared" si="5"/>
        <v>-2.348174312200058</v>
      </c>
      <c r="G32">
        <f t="shared" si="6"/>
        <v>2.348174312200058</v>
      </c>
    </row>
    <row r="35" spans="1:6" x14ac:dyDescent="0.25">
      <c r="A35" t="s">
        <v>9</v>
      </c>
      <c r="B35">
        <f>MAX(C21:C32)</f>
        <v>4.8745731563000163</v>
      </c>
      <c r="E35" t="s">
        <v>9</v>
      </c>
      <c r="F35">
        <f>MAX(G21:G32)</f>
        <v>3.0239172457999643</v>
      </c>
    </row>
    <row r="36" spans="1:6" x14ac:dyDescent="0.25">
      <c r="A36" t="s">
        <v>13</v>
      </c>
      <c r="B36">
        <f>SUM(C21:C32)</f>
        <v>21.007857568600031</v>
      </c>
      <c r="E36" t="s">
        <v>13</v>
      </c>
      <c r="F36">
        <f>SUM(G21:G32)</f>
        <v>16.220948317800072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A15" sqref="A1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525</v>
      </c>
      <c r="B2">
        <v>500</v>
      </c>
    </row>
    <row r="3" spans="1:2" x14ac:dyDescent="0.25">
      <c r="A3">
        <v>642</v>
      </c>
      <c r="B3">
        <v>600</v>
      </c>
    </row>
    <row r="4" spans="1:2" x14ac:dyDescent="0.25">
      <c r="A4">
        <v>770</v>
      </c>
      <c r="B4">
        <v>700</v>
      </c>
    </row>
    <row r="5" spans="1:2" x14ac:dyDescent="0.25">
      <c r="A5">
        <v>892</v>
      </c>
      <c r="B5">
        <v>800</v>
      </c>
    </row>
    <row r="6" spans="1:2" x14ac:dyDescent="0.25">
      <c r="A6">
        <v>1033</v>
      </c>
      <c r="B6">
        <v>900</v>
      </c>
    </row>
    <row r="7" spans="1:2" x14ac:dyDescent="0.25">
      <c r="A7">
        <v>1170</v>
      </c>
      <c r="B7">
        <v>1000</v>
      </c>
    </row>
    <row r="8" spans="1:2" x14ac:dyDescent="0.25">
      <c r="A8">
        <v>1319</v>
      </c>
      <c r="B8">
        <v>1100</v>
      </c>
    </row>
    <row r="9" spans="1:2" x14ac:dyDescent="0.25">
      <c r="A9">
        <v>1476</v>
      </c>
      <c r="B9">
        <v>1200</v>
      </c>
    </row>
    <row r="10" spans="1:2" x14ac:dyDescent="0.25">
      <c r="A10">
        <v>1632</v>
      </c>
      <c r="B10">
        <v>1300</v>
      </c>
    </row>
    <row r="11" spans="1:2" x14ac:dyDescent="0.25">
      <c r="A11">
        <v>1797</v>
      </c>
      <c r="B11">
        <v>1400</v>
      </c>
    </row>
    <row r="12" spans="1:2" x14ac:dyDescent="0.25">
      <c r="A12">
        <v>1968</v>
      </c>
      <c r="B12">
        <v>1500</v>
      </c>
    </row>
    <row r="18" spans="1:11" x14ac:dyDescent="0.25">
      <c r="A18" t="s">
        <v>15</v>
      </c>
      <c r="E18" t="s">
        <v>14</v>
      </c>
      <c r="I18" t="s">
        <v>4</v>
      </c>
    </row>
    <row r="20" spans="1:11" x14ac:dyDescent="0.25">
      <c r="A20" t="s">
        <v>17</v>
      </c>
      <c r="B20" t="s">
        <v>5</v>
      </c>
      <c r="C20" t="s">
        <v>6</v>
      </c>
      <c r="E20" t="s">
        <v>17</v>
      </c>
      <c r="F20" t="s">
        <v>5</v>
      </c>
      <c r="G20" t="s">
        <v>6</v>
      </c>
      <c r="I20" t="s">
        <v>17</v>
      </c>
      <c r="J20" t="s">
        <v>5</v>
      </c>
      <c r="K20" t="s">
        <v>6</v>
      </c>
    </row>
    <row r="21" spans="1:11" x14ac:dyDescent="0.25">
      <c r="A21">
        <f>-0.000098146 * A2^2 + 0.9333950613 * A2 + 40.2438131585</f>
        <v>503.22472909100003</v>
      </c>
      <c r="B21">
        <f>A21-B2</f>
        <v>3.2247290910000288</v>
      </c>
      <c r="C21">
        <f>ABS(B21)</f>
        <v>3.2247290910000288</v>
      </c>
      <c r="E21">
        <f>3*10^-8 * A2^3 - 0.0002 * A2^2 + 1.0614*A2 - 3.661</f>
        <v>502.79009374999993</v>
      </c>
      <c r="F21">
        <f>E21-B2</f>
        <v>2.7900937499999259</v>
      </c>
      <c r="G21">
        <f>ABS(F21)</f>
        <v>2.7900937499999259</v>
      </c>
      <c r="I21">
        <f>0.690612651*A2 + 169.7580275193</f>
        <v>532.32966929429995</v>
      </c>
      <c r="J21">
        <f>I21-B2</f>
        <v>32.329669294299947</v>
      </c>
      <c r="K21">
        <f>ABS(J21)</f>
        <v>32.329669294299947</v>
      </c>
    </row>
    <row r="22" spans="1:11" x14ac:dyDescent="0.25">
      <c r="A22">
        <f>-0.000098146 * A3^2 + 0.9333950613 * A3 + 40.2438131585</f>
        <v>599.03119456910008</v>
      </c>
      <c r="B22">
        <f>A22-B3</f>
        <v>-0.96880543089991988</v>
      </c>
      <c r="C22">
        <f t="shared" ref="C22:C31" si="0">ABS(B22)</f>
        <v>0.96880543089991988</v>
      </c>
      <c r="E22">
        <f>3*10^-8 * A3^3 - 0.0002 * A3^2 + 1.0614*A3 - 3.661</f>
        <v>603.26327863999995</v>
      </c>
      <c r="F22">
        <f>E22-B3</f>
        <v>3.2632786399999532</v>
      </c>
      <c r="G22">
        <f t="shared" ref="G22:G31" si="1">ABS(F22)</f>
        <v>3.2632786399999532</v>
      </c>
      <c r="I22">
        <f t="shared" ref="I22:I31" si="2">0.690612651*A3 + 169.7580275193</f>
        <v>613.13134946130003</v>
      </c>
      <c r="J22">
        <f t="shared" ref="J22:J31" si="3">I22-B3</f>
        <v>13.131349461300033</v>
      </c>
      <c r="K22">
        <f t="shared" ref="K22:K31" si="4">ABS(J22)</f>
        <v>13.131349461300033</v>
      </c>
    </row>
    <row r="23" spans="1:11" x14ac:dyDescent="0.25">
      <c r="A23">
        <f>-0.000098146 * A4^2 + 0.9333950613 * A4 + 40.2438131585</f>
        <v>700.76724695949997</v>
      </c>
      <c r="B23">
        <f>A23-B4</f>
        <v>0.76724695949997113</v>
      </c>
      <c r="C23">
        <f t="shared" si="0"/>
        <v>0.76724695949997113</v>
      </c>
      <c r="E23">
        <f>3*10^-8 * A4^3 - 0.0002 * A4^2 + 1.0614*A4 - 3.661</f>
        <v>708.73298999999997</v>
      </c>
      <c r="F23">
        <f>E23-B4</f>
        <v>8.7329899999999725</v>
      </c>
      <c r="G23">
        <f t="shared" si="1"/>
        <v>8.7329899999999725</v>
      </c>
      <c r="I23">
        <f t="shared" si="2"/>
        <v>701.52976878929996</v>
      </c>
      <c r="J23">
        <f t="shared" si="3"/>
        <v>1.5297687892999647</v>
      </c>
      <c r="K23">
        <f t="shared" si="4"/>
        <v>1.5297687892999647</v>
      </c>
    </row>
    <row r="24" spans="1:11" x14ac:dyDescent="0.25">
      <c r="A24">
        <f>-0.000098146 * A5^2 + 0.9333950613 * A5 + 40.2438131585</f>
        <v>794.74096889409998</v>
      </c>
      <c r="B24">
        <f>A24-B5</f>
        <v>-5.2590311059000214</v>
      </c>
      <c r="C24">
        <f t="shared" si="0"/>
        <v>5.2590311059000214</v>
      </c>
      <c r="E24">
        <f>3*10^-8 * A5^3 - 0.0002 * A5^2 + 1.0614*A5 - 3.661</f>
        <v>805.26696863999996</v>
      </c>
      <c r="F24">
        <f>E24-B5</f>
        <v>5.2669686399999591</v>
      </c>
      <c r="G24">
        <f t="shared" si="1"/>
        <v>5.2669686399999591</v>
      </c>
      <c r="I24">
        <f t="shared" si="2"/>
        <v>785.78451221130001</v>
      </c>
      <c r="J24">
        <f t="shared" si="3"/>
        <v>-14.215487788699988</v>
      </c>
      <c r="K24">
        <f t="shared" si="4"/>
        <v>14.215487788699988</v>
      </c>
    </row>
    <row r="25" spans="1:11" x14ac:dyDescent="0.25">
      <c r="A25">
        <f>-0.000098146 * A6^2 + 0.9333950613 * A6 + 40.2438131585</f>
        <v>899.71039448739998</v>
      </c>
      <c r="B25">
        <f>A25-B6</f>
        <v>-0.28960551260001921</v>
      </c>
      <c r="C25">
        <f t="shared" si="0"/>
        <v>0.28960551260001921</v>
      </c>
      <c r="E25">
        <f>3*10^-8 * A6^3 - 0.0002 * A6^2 + 1.0614*A6 - 3.661</f>
        <v>912.41648810999993</v>
      </c>
      <c r="F25">
        <f>E25-B6</f>
        <v>12.416488109999932</v>
      </c>
      <c r="G25">
        <f t="shared" si="1"/>
        <v>12.416488109999932</v>
      </c>
      <c r="I25">
        <f t="shared" si="2"/>
        <v>883.16089600229998</v>
      </c>
      <c r="J25">
        <f t="shared" si="3"/>
        <v>-16.839103997700022</v>
      </c>
      <c r="K25">
        <f t="shared" si="4"/>
        <v>16.839103997700022</v>
      </c>
    </row>
    <row r="26" spans="1:11" x14ac:dyDescent="0.25">
      <c r="A26">
        <f>-0.000098146 * A7^2 + 0.9333950613 * A7 + 40.2438131585</f>
        <v>997.96397547949994</v>
      </c>
      <c r="B26">
        <f>A26-B7</f>
        <v>-2.0360245205000638</v>
      </c>
      <c r="C26">
        <f t="shared" si="0"/>
        <v>2.0360245205000638</v>
      </c>
      <c r="E26">
        <f>3*10^-8 * A7^3 - 0.0002 * A7^2 + 1.0614*A7 - 3.661</f>
        <v>1012.44539</v>
      </c>
      <c r="F26">
        <f>E26-B7</f>
        <v>12.445389999999975</v>
      </c>
      <c r="G26">
        <f t="shared" si="1"/>
        <v>12.445389999999975</v>
      </c>
      <c r="I26">
        <f t="shared" si="2"/>
        <v>977.77482918930002</v>
      </c>
      <c r="J26">
        <f t="shared" si="3"/>
        <v>-22.225170810699979</v>
      </c>
      <c r="K26">
        <f t="shared" si="4"/>
        <v>22.225170810699979</v>
      </c>
    </row>
    <row r="27" spans="1:11" x14ac:dyDescent="0.25">
      <c r="A27">
        <f>-0.000098146 * A8^2 + 0.9333950613 * A8 + 40.2438131585</f>
        <v>1100.6413159071999</v>
      </c>
      <c r="B27">
        <f>A27-B8</f>
        <v>0.64131590719989617</v>
      </c>
      <c r="C27">
        <f t="shared" si="0"/>
        <v>0.64131590719989617</v>
      </c>
      <c r="E27">
        <f>3*10^-8 * A8^3 - 0.0002 * A8^2 + 1.0614*A8 - 3.661</f>
        <v>1117.2157427699999</v>
      </c>
      <c r="F27">
        <f>E27-B8</f>
        <v>17.215742769999906</v>
      </c>
      <c r="G27">
        <f t="shared" si="1"/>
        <v>17.215742769999906</v>
      </c>
      <c r="I27">
        <f t="shared" si="2"/>
        <v>1080.6761141883001</v>
      </c>
      <c r="J27">
        <f t="shared" si="3"/>
        <v>-19.323885811699938</v>
      </c>
      <c r="K27">
        <f t="shared" si="4"/>
        <v>19.323885811699938</v>
      </c>
    </row>
    <row r="28" spans="1:11" x14ac:dyDescent="0.25">
      <c r="A28">
        <f>-0.000098146 * A9^2 + 0.9333950613 * A9 + 40.2438131585</f>
        <v>1204.1164035413001</v>
      </c>
      <c r="B28">
        <f>A28-B9</f>
        <v>4.1164035413000875</v>
      </c>
      <c r="C28">
        <f t="shared" si="0"/>
        <v>4.1164035413000875</v>
      </c>
      <c r="E28">
        <f>3*10^-8 * A9^3 - 0.0002 * A9^2 + 1.0614*A9 - 3.661</f>
        <v>1223.7175452799997</v>
      </c>
      <c r="F28">
        <f>E28-B9</f>
        <v>23.71754527999974</v>
      </c>
      <c r="G28">
        <f t="shared" si="1"/>
        <v>23.71754527999974</v>
      </c>
      <c r="I28">
        <f t="shared" si="2"/>
        <v>1189.1023003953001</v>
      </c>
      <c r="J28">
        <f t="shared" si="3"/>
        <v>-10.897699604699937</v>
      </c>
      <c r="K28">
        <f t="shared" si="4"/>
        <v>10.897699604699937</v>
      </c>
    </row>
    <row r="29" spans="1:11" x14ac:dyDescent="0.25">
      <c r="A29">
        <f>-0.000098146 * A10^2 + 0.9333950613 * A10 + 40.2438131585</f>
        <v>1302.1401412961002</v>
      </c>
      <c r="B29">
        <f>A29-B10</f>
        <v>2.1401412961001824</v>
      </c>
      <c r="C29">
        <f t="shared" si="0"/>
        <v>2.1401412961001824</v>
      </c>
      <c r="E29">
        <f>3*10^-8 * A10^3 - 0.0002 * A10^2 + 1.0614*A10 - 3.661</f>
        <v>1326.2602390399998</v>
      </c>
      <c r="F29">
        <f>E29-B10</f>
        <v>26.26023903999976</v>
      </c>
      <c r="G29">
        <f t="shared" si="1"/>
        <v>26.26023903999976</v>
      </c>
      <c r="I29">
        <f t="shared" si="2"/>
        <v>1296.8378739513</v>
      </c>
      <c r="J29">
        <f t="shared" si="3"/>
        <v>-3.1621260486999745</v>
      </c>
      <c r="K29">
        <f t="shared" si="4"/>
        <v>3.1621260486999745</v>
      </c>
    </row>
    <row r="30" spans="1:11" x14ac:dyDescent="0.25">
      <c r="A30">
        <f>-0.000098146 * A11^2 + 0.9333950613 * A11 + 40.2438131585</f>
        <v>1400.6207918005998</v>
      </c>
      <c r="B30">
        <f>A30-B11</f>
        <v>0.62079180059981809</v>
      </c>
      <c r="C30">
        <f t="shared" si="0"/>
        <v>0.62079180059981809</v>
      </c>
      <c r="E30">
        <f>3*10^-8 * A11^3 - 0.0002 * A11^2 + 1.0614*A11 - 3.661</f>
        <v>1431.9196571899997</v>
      </c>
      <c r="F30">
        <f>E30-B11</f>
        <v>31.919657189999725</v>
      </c>
      <c r="G30">
        <f t="shared" si="1"/>
        <v>31.919657189999725</v>
      </c>
      <c r="I30">
        <f t="shared" si="2"/>
        <v>1410.7889613663001</v>
      </c>
      <c r="J30">
        <f t="shared" si="3"/>
        <v>10.7889613663001</v>
      </c>
      <c r="K30">
        <f t="shared" si="4"/>
        <v>10.7889613663001</v>
      </c>
    </row>
    <row r="31" spans="1:11" x14ac:dyDescent="0.25">
      <c r="A31">
        <f>-0.000098146 * A12^2 + 0.9333950613 * A12 + 40.2438131585</f>
        <v>1497.0434802928999</v>
      </c>
      <c r="B31">
        <f>A31-B12</f>
        <v>-2.9565197071001421</v>
      </c>
      <c r="C31">
        <f t="shared" si="0"/>
        <v>2.9565197071001421</v>
      </c>
      <c r="E31">
        <f>3*10^-8 * A12^3 - 0.0002 * A12^2 + 1.0614*A12 - 3.661</f>
        <v>1539.2327369599998</v>
      </c>
      <c r="F31">
        <f>E31-B12</f>
        <v>39.232736959999784</v>
      </c>
      <c r="G31">
        <f t="shared" si="1"/>
        <v>39.232736959999784</v>
      </c>
      <c r="I31">
        <f t="shared" si="2"/>
        <v>1528.8837246872999</v>
      </c>
      <c r="J31">
        <f t="shared" si="3"/>
        <v>28.883724687299946</v>
      </c>
      <c r="K31">
        <f t="shared" si="4"/>
        <v>28.883724687299946</v>
      </c>
    </row>
    <row r="35" spans="1:10" x14ac:dyDescent="0.25">
      <c r="A35" t="s">
        <v>9</v>
      </c>
      <c r="B35">
        <f>MAX(C21:C31)</f>
        <v>5.2590311059000214</v>
      </c>
      <c r="E35" t="s">
        <v>9</v>
      </c>
      <c r="F35">
        <f>MAX(G21:G31)</f>
        <v>39.232736959999784</v>
      </c>
      <c r="I35" t="s">
        <v>9</v>
      </c>
      <c r="J35">
        <f>MAX(K21:K31)</f>
        <v>32.329669294299947</v>
      </c>
    </row>
    <row r="36" spans="1:10" x14ac:dyDescent="0.25">
      <c r="A36" t="s">
        <v>13</v>
      </c>
      <c r="B36">
        <f>SUM(C21:C31)</f>
        <v>23.02061487270015</v>
      </c>
      <c r="E36" t="s">
        <v>13</v>
      </c>
      <c r="F36">
        <f>SUM(G21:G31)</f>
        <v>183.26113037999863</v>
      </c>
      <c r="I36" t="s">
        <v>13</v>
      </c>
      <c r="J36">
        <f>SUM(K21:K31)</f>
        <v>173.32694766069983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X Axis</vt:lpstr>
      <vt:lpstr>Y Axis</vt:lpstr>
      <vt:lpstr>Z Axis</vt:lpstr>
    </vt:vector>
  </TitlesOfParts>
  <Company>UMinho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</dc:creator>
  <cp:lastModifiedBy>Rui</cp:lastModifiedBy>
  <dcterms:created xsi:type="dcterms:W3CDTF">2012-05-04T11:23:29Z</dcterms:created>
  <dcterms:modified xsi:type="dcterms:W3CDTF">2012-05-04T14:45:13Z</dcterms:modified>
</cp:coreProperties>
</file>